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프로젝트\엑시트몰\"/>
    </mc:Choice>
  </mc:AlternateContent>
  <xr:revisionPtr revIDLastSave="0" documentId="13_ncr:1_{83195186-15BB-406E-A9E2-E1A0FA47A6F1}" xr6:coauthVersionLast="47" xr6:coauthVersionMax="47" xr10:uidLastSave="{00000000-0000-0000-0000-000000000000}"/>
  <bookViews>
    <workbookView xWindow="15495" yWindow="1620" windowWidth="25980" windowHeight="16845" xr2:uid="{00000000-000D-0000-FFFF-FFFF00000000}"/>
  </bookViews>
  <sheets>
    <sheet name="1.견적서" sheetId="1" r:id="rId1"/>
    <sheet name="2.기능패키지산정" sheetId="2" r:id="rId2"/>
    <sheet name="3.납품범위" sheetId="4" r:id="rId3"/>
    <sheet name="4.서버운영비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C29" i="1"/>
  <c r="C31" i="1" s="1"/>
  <c r="G17" i="2" l="1"/>
  <c r="G18" i="2" s="1"/>
</calcChain>
</file>

<file path=xl/sharedStrings.xml><?xml version="1.0" encoding="utf-8"?>
<sst xmlns="http://schemas.openxmlformats.org/spreadsheetml/2006/main" count="230" uniqueCount="175">
  <si>
    <t>견    적    서</t>
  </si>
  <si>
    <t>엑시트몰(Exit Mall) — B2B 재고 위탁·배송대행 통합 운영 플랫폼 구축 사업</t>
  </si>
  <si>
    <t>■ 발 주 처</t>
  </si>
  <si>
    <t>회 사 명</t>
  </si>
  <si>
    <t>(주)○○○○</t>
  </si>
  <si>
    <t>대 표 자</t>
  </si>
  <si>
    <t>○○○</t>
  </si>
  <si>
    <t>주    소</t>
  </si>
  <si>
    <t/>
  </si>
  <si>
    <t>담 당 자</t>
  </si>
  <si>
    <t>■ 공 급 자</t>
  </si>
  <si>
    <t>상    호</t>
  </si>
  <si>
    <t>에스티리테일</t>
  </si>
  <si>
    <t>이성택</t>
  </si>
  <si>
    <t>연 락 처</t>
  </si>
  <si>
    <t>■ 견 적 금 액   (지인 특별가 — 기존 금액 유지 / 현재 구현 범위 포함)</t>
  </si>
  <si>
    <t>공급가액</t>
  </si>
  <si>
    <t>(VAT 별도)</t>
  </si>
  <si>
    <t>부 가 세</t>
  </si>
  <si>
    <t>(VAT 10%)</t>
  </si>
  <si>
    <t>합    계</t>
  </si>
  <si>
    <t>(VAT 포함)</t>
  </si>
  <si>
    <t>■ 서 버 운 영 비   (개발비 별도 — 3개월 단위 청구)</t>
  </si>
  <si>
    <t>구성</t>
  </si>
  <si>
    <t>Vercel Pro ($20/월) + 운영 버퍼 ($8/월) = $28/월</t>
  </si>
  <si>
    <t>3개월 공급가액</t>
  </si>
  <si>
    <t>126,000원  ($28 × 3개월 × 1,500원)</t>
  </si>
  <si>
    <t>12,600원  (VAT 10%)</t>
  </si>
  <si>
    <t>3개월 합계</t>
  </si>
  <si>
    <t>138,600원  (VAT 포함)</t>
  </si>
  <si>
    <t>청구 방식</t>
  </si>
  <si>
    <t>3개월 종료 시 전자세금계산서 발행 / Supabase Pro 전환 시 별도 협의</t>
  </si>
  <si>
    <t>■ 최 종 견 적 금 액   (기능 개발 + 서버 운영비 3개월 / 금액 변동 없음)</t>
  </si>
  <si>
    <t>기능 개발비</t>
  </si>
  <si>
    <t>(VAT 포함 / 계약금 50%→잔금 50%)</t>
  </si>
  <si>
    <t>서버 운영비 (3개월)</t>
  </si>
  <si>
    <t>(VAT 포함 / 3개월 단위 별도 청구)</t>
  </si>
  <si>
    <t>최 종 합 계</t>
  </si>
  <si>
    <t>(VAT 포함 전체 / 계약 시 총 예상 지출)</t>
  </si>
  <si>
    <t>■ 참 고  —  시 장 가 대 비</t>
  </si>
  <si>
    <t>시장가 (위시켓 기준)</t>
  </si>
  <si>
    <t>21,300,000원</t>
  </si>
  <si>
    <t>지인 특별가 (본 견적)</t>
  </si>
  <si>
    <t>3,000,000원  (개발비 / 서버비 별도)</t>
  </si>
  <si>
    <t>할 인 금 액</t>
  </si>
  <si>
    <t>18,300,000원  (85.9% 할인)</t>
  </si>
  <si>
    <t>■ 견 적 조 건</t>
  </si>
  <si>
    <t>작 성 일</t>
  </si>
  <si>
    <t>2026년 5월 23일</t>
  </si>
  <si>
    <t>견적유효기간</t>
  </si>
  <si>
    <t>발행일로부터 30일</t>
  </si>
  <si>
    <t>납품 범위</t>
  </si>
  <si>
    <t>7개 기능 패키지 전체 + 현재 구현 기능 포함 (마이그레이션 63개, 서버 액션 78개+, 페이지/컴포넌트 141개)</t>
  </si>
  <si>
    <t>하자보수</t>
  </si>
  <si>
    <t>납품 완료일로부터 6개월 (기능 결함 무상 수정)</t>
  </si>
  <si>
    <t>추가 개발</t>
  </si>
  <si>
    <t>기능 추가 및 유지보수는 별도 협의 (시장 단가 적용)</t>
  </si>
  <si>
    <t>결제 조건</t>
  </si>
  <si>
    <t>계약금 50% / 잔금 50% (납품 완료 후)</t>
  </si>
  <si>
    <t>상기와 같이 견적합니다.</t>
  </si>
  <si>
    <t>에스티리테일  /  대표  이 성 택  (인)</t>
  </si>
  <si>
    <t>기  능  패  키  지  산  정  내  역  (7  Packages / Current Scope)</t>
  </si>
  <si>
    <t>Git 커밋·DB 마이그레이션 63개·서버 액션 78개+·페이지/컴포넌트 141개 교차 분석 기반 / 작성: 2026-05-23</t>
  </si>
  <si>
    <t>기능 패키지</t>
  </si>
  <si>
    <t>마이그레이션</t>
  </si>
  <si>
    <t>서버 액션</t>
  </si>
  <si>
    <t>페이지/컴포넌트</t>
  </si>
  <si>
    <t>총 파일</t>
  </si>
  <si>
    <t>7개</t>
  </si>
  <si>
    <t>63개</t>
  </si>
  <si>
    <t>78개+</t>
  </si>
  <si>
    <t>141개</t>
  </si>
  <si>
    <t>327개+</t>
  </si>
  <si>
    <t>No.</t>
  </si>
  <si>
    <t>패키지명</t>
  </si>
  <si>
    <t>납품 내용</t>
  </si>
  <si>
    <t>구현 시기</t>
  </si>
  <si>
    <t>파일</t>
  </si>
  <si>
    <t>금액(원, VAT별도)</t>
  </si>
  <si>
    <t>P1</t>
  </si>
  <si>
    <t>기반 인프라 &amp; 인증 시스템</t>
  </si>
  <si>
    <t>Next.js + Supabase 셋업 + DB 스키마
+ RLS 보안 정책 + 미들웨어 역할/그룹 게이트
+ 회원가입·로그인·아이디찾기·비밀번호 재설정
+ 반려 회원 재신청 + Zod 한국어 에러 메시지
+ 보안 헤더·RPC 중심 권한 검증</t>
  </si>
  <si>
    <t>04.22~05.18</t>
  </si>
  <si>
    <t>P2</t>
  </si>
  <si>
    <t>쇼핑몰 &amp; 충전/결제 시스템</t>
  </si>
  <si>
    <t>상품 목록·장바구니·1인 구매한도 검사
+ 재고 수량 기반 장바구니 차단
+ 상품 구매 검토요청 및 예치금 차감 승인
+ 예치금 가용/예약 분리 + 충전 신청/승인
+ 배송대행 배송비는 별도 정산 안내로 정책 정리</t>
  </si>
  <si>
    <t>04.22~05.20</t>
  </si>
  <si>
    <t>P3</t>
  </si>
  <si>
    <t>관리자 백오피스</t>
  </si>
  <si>
    <t>통합 운영 대시보드(가입·입금·구매·배송·입고·CS 큐)
+ 회원 관리·승인/반려·그룹/연락처 변경
+ 상품 CRUD·소프트 삭제/복원·대량 등록
+ 구매/배송/입고/CS 최근 활동 통합 조회
+ Realtime 대시보드 갱신 + 빠른 이동</t>
  </si>
  <si>
    <t>04.22~05.23</t>
  </si>
  <si>
    <t>P4</t>
  </si>
  <si>
    <t>재고 관리 &amp; 배송대행 시스템</t>
  </si>
  <si>
    <t>재고 주문(stock_orders) 승인/반려/취소
+ 보유 재고 가용/예약 분리·입출 이력 타임라인
+ 엑시트몰 배송대행과 사입재고 배송대행 분리
+ CJ 엑셀 파서·송장 재업로드·송장 다운로드·CJ 조회
+ 상품명/옵션명 공백 무시 매칭 + 배송비 예치금 미차감</t>
  </si>
  <si>
    <t>05.06~05.20</t>
  </si>
  <si>
    <t>P5</t>
  </si>
  <si>
    <t>상품 대량 등록 &amp; 커스텀/사입 재고</t>
  </si>
  <si>
    <t>상품 엑셀 대량 업로드(미리보기→확정)
+ 커스텀 재고 CRUD 및 이동 감사 로그
+ 사입재고 FIFO 배정·pending 예약·승인 차감
+ 관리자 수기 사입재고 로트 추가/수정
+ 예약 수량 보호 + 변경 이력 기록</t>
  </si>
  <si>
    <t>05.11~05.22</t>
  </si>
  <si>
    <t>P6</t>
  </si>
  <si>
    <t>입고 요청 &amp; CS 문의 게시판</t>
  </si>
  <si>
    <t>입고 요청 작성·목록·상세·첨부·댓글·상태 관리
+ 입고 요청 Realtime 미읽음 배지 + 검색 RPC
+ 교환/반품 및 CS 문의 비공개 게시판
+ CS 유형/참고번호/선택 첨부/댓글/상태 추적
+ 사용자·관리자 unread 배지 및 group2 접근 허용</t>
  </si>
  <si>
    <t>05.12~05.18</t>
  </si>
  <si>
    <t>P7</t>
  </si>
  <si>
    <t>사용자 그룹 &amp; 가이드북</t>
  </si>
  <si>
    <t>Group1/Group2 메뉴·기능 권한 분리
+ 그룹별 서버 액션 가드와 미들웨어 redirect
+ 가이드 배너·그룹별 사용자 가이드·관리자 가이드
+ FAQ CRUD·마크다운·카테고리·seed 안정화
+ 사용자 헤더/배송대행 드롭다운 및 템플릿 안내 정비</t>
  </si>
  <si>
    <t>05.14~05.23</t>
  </si>
  <si>
    <t>공 급 가 액  (Sub-total)</t>
  </si>
  <si>
    <t>부 가 세 (VAT 10%)</t>
  </si>
  <si>
    <t>합    계  (Grand Total / VAT 포함)</t>
  </si>
  <si>
    <t>■  패키지별 핵심 가치 요약 (클라이언트 설명용)</t>
  </si>
  <si>
    <t>핵심 가치</t>
  </si>
  <si>
    <t>서비스 기반·권한·보안·인증을 완성해 운영 가능한 폐쇄몰의 뼈대를 제공</t>
  </si>
  <si>
    <t>상품 구매, 예치금, 장바구니 재고 차단까지 실제 거래 흐름을 안정화</t>
  </si>
  <si>
    <t>운영자가 오늘 처리할 업무를 한 화면에서 파악하고 회원·상품·업무를 관리</t>
  </si>
  <si>
    <t>엑시트몰/사입재고 배송대행을 분리하고 재고·송장·매칭 흐름을 자동화</t>
  </si>
  <si>
    <t>대량 상품 등록과 비표준/사입 재고까지 운영자가 직접 보정할 수 있게 확장</t>
  </si>
  <si>
    <t>입고 요청과 CS 문의를 각각 비공개 업무 채널로 분리해 고객 응대 누락 방지</t>
  </si>
  <si>
    <t>고객군별 메뉴와 가이드/FAQ를 분리해 온보딩과 운영 안내를 체계화</t>
  </si>
  <si>
    <t>납  품  범  위  확  인  서  (마  일  스  톤  기  반)</t>
  </si>
  <si>
    <t>Git 커밋·DB 마이그레이션(63개)·서버 액션(78개+)·페이지/컴포넌트(141개) 교차 분석 / 2026-05-23 기준</t>
  </si>
  <si>
    <t>총 패키지</t>
  </si>
  <si>
    <t>파일(컴포넌트)</t>
  </si>
  <si>
    <t>개발 기간</t>
  </si>
  <si>
    <t>31일</t>
  </si>
  <si>
    <t>구현 날짜</t>
  </si>
  <si>
    <t>금액</t>
  </si>
  <si>
    <t>납품 내용 (상세)</t>
  </si>
  <si>
    <t>• Next.js 14 + Supabase 프로젝트 셋업, Vercel 배포 구조
• profiles/products/orders/deposit/stock/order_uploads/inbound/support 등 DB 기반 구성
• RLS 보안 정책, Storage private bucket, RPC 중심 쓰기 흐름
• 회원가입·로그인·승인대기·반려 재신청·아이디찾기·비밀번호 재설정
• 사용자 그룹별 접근 제어와 관리자/사용자 라우트 게이트
• Zod 기반 서버 검증과 한국어 오류 메시지</t>
  </si>
  <si>
    <t>• 상품 목록, 품절/품절임박 표시, 장바구니 상태 유지
• 1인 구매한도와 현재 재고를 함께 반영한 장바구니 수량 제한
• 재고 부족 상품 주문 버튼 비활성화와 행별 안내 메시지
• 상품 구매 검토 요청, 관리자 승인 시 예치금 차감과 재고 적립
• 예치금 충전 신청/승인/반려, 가용액/검토대기 예약 표시
• 배송대행 배송비는 예치금 차감 없이 안내 금액으로 분리</t>
  </si>
  <si>
    <t>• 관리자 통합 운영 대시보드: 가입/입금/구매/배송/입고/CS 큐 집계
• 최근 업무 이벤트 통합 테이블과 빠른 이동 링크
• 회원 목록/상세, 상태·그룹·연락처·잔액·임계값 관리
• 상품 CRUD, 이미지 업로드, 소프트 삭제/복원, 엑셀 대량 등록
• 구매 승인, 배송대행 검토, 입고리스트/CS 상세 처리 화면
• Realtime 이벤트로 운영 대시보드 자동 갱신</t>
  </si>
  <si>
    <t>• stock_orders 기반 구매 요청/승인/반려/취소와 보유 재고 적립
• user_inventory 및 custom_inventory 가용/예약/총 보유 수량 관리
• 엑시트몰 배송대행과 사입재고 배송대행 메뉴/라우트 완전 분리
• CJ 엑셀 양식 파서, 템플릿 불일치 안내, 송장 재업로드/다운로드
• CJ 배송조회 버튼과 배송 완료 처리
• 상품명·옵션명 공백 무시 매칭, 중복 후보 방어, 배송비 별도 정산</t>
  </si>
  <si>
    <t>• 상품 엑셀 대량 업로드: 미리보기 검증 후 확정 반영
• 비표준 상품명 기반 커스텀 재고 추가/조정/삭제 및 감사 로그
• 사입재고 로트 FIFO 배정, pending 예약, 승인 시 로트 차감
• 관리자 수기 사입재고 로트 추가/수정 UI
• pending 예약 수량보다 낮은 수량 수정 방지
• 예약 중 로트의 상품명/옵션 변경 방지 및 변경 이력 기록</t>
  </si>
  <si>
    <t>• 입고 요청: 목록/작성/상세/첨부/댓글/상태 변경/취소
• 입고 요청 첨부 signed URL, 댓글 10분 수정, Rate Limit, 검색 RPC
• 교환/반품 및 CS 문의: 유형, 참고번호, 본문, 선택 첨부 등록
• CS 문의 관리자 상태 전환(접수/처리중/완료/취소)과 댓글 답변
• 입고/CS 각각 별도 미읽음 배지와 Realtime 갱신
• group1/group2 모두 CS 문의 접근 가능</t>
  </si>
  <si>
    <t>• 사용자 그룹 Group1/Group2 분리와 승인 시 그룹 선택
• group2는 사입재고 배송대행, 입고리스트, CS, 가이드, 계정 중심 메뉴만 노출
• 그룹별 서버 액션 가드로 직접 호출 방어
• 첫 로그인 가이드 배너와 닫기 상태 영구 저장
• 그룹별 사용자 가이드와 관리자 가이드, FAQ CRUD/마크다운/카테고리
• 사용자 내비게이션 정리, 배송대행 드롭다운 통합, FAQ seed 안정화</t>
  </si>
  <si>
    <t>서  버  운  영  비  안  내  (별  도)</t>
  </si>
  <si>
    <t>개발비(300만원)와 별도 / 3개월 단위 청구 / VAT 별도 / 기준환율 $1 = 1,500원 (2026-05-23)</t>
  </si>
  <si>
    <t>항목</t>
  </si>
  <si>
    <t>월 요금(USD)</t>
  </si>
  <si>
    <t>월 요금(원)</t>
  </si>
  <si>
    <t>3개월(USD)</t>
  </si>
  <si>
    <t>3개월(원)</t>
  </si>
  <si>
    <t>Vercel Pro</t>
  </si>
  <si>
    <t>$20</t>
  </si>
  <si>
    <t>$60</t>
  </si>
  <si>
    <t>운영 버퍼</t>
  </si>
  <si>
    <t>$8</t>
  </si>
  <si>
    <t>$24</t>
  </si>
  <si>
    <t>소 계 (공급가액)</t>
  </si>
  <si>
    <t>$28</t>
  </si>
  <si>
    <t>3개월 합계 (VAT 포함)</t>
  </si>
  <si>
    <t>■  청 구 조 건</t>
  </si>
  <si>
    <t>청구 단위</t>
  </si>
  <si>
    <t>3개월 단위 (분기별 청구)</t>
  </si>
  <si>
    <t>청구 금액</t>
  </si>
  <si>
    <t>공급가액 126,000원 + VAT 12,600원 = 138,600원 / 3개월</t>
  </si>
  <si>
    <t>월 환산</t>
  </si>
  <si>
    <t>월 42,000원 ($28 × 1,500원 / VAT 별도)</t>
  </si>
  <si>
    <t>적용 환율</t>
  </si>
  <si>
    <t>$1 = 1,500원 (2026-05-23 기준 / 환율 변동 시 재산정)</t>
  </si>
  <si>
    <t>포함 항목</t>
  </si>
  <si>
    <t>Vercel Pro ($20/월) + 운영 버퍼 ($8/월)</t>
  </si>
  <si>
    <t>미포함 항목</t>
  </si>
  <si>
    <t>Supabase (현재 Free 플랜 / 추후 Pro 전환 시 별도 협의)</t>
  </si>
  <si>
    <t>세금계산서</t>
  </si>
  <si>
    <t>3개월 종료 시점에 전자세금계산서 발행</t>
  </si>
  <si>
    <t>서버 계정</t>
  </si>
  <si>
    <t>공급자(에스티리테일)가 Vercel 계정 직접 관리 / 계약 종료 시 접근 권한 이전</t>
  </si>
  <si>
    <t>■  향후 Supabase Pro 전환 시 예상 비용 (참고)</t>
  </si>
  <si>
    <t>월 $</t>
  </si>
  <si>
    <t>월 원화</t>
  </si>
  <si>
    <t>3개월 원화</t>
  </si>
  <si>
    <t>현재 (Vercel Pro + 버퍼)</t>
  </si>
  <si>
    <t>Supabase Pro 추가 후</t>
  </si>
  <si>
    <t>$53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</si>
</sst>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&quot;원&quot;;[Red]\(#,##0&quot;원&quot;\);&quot;-&quot;"/>
    <numFmt numFmtId="177" formatCode="#,##0&quot;원&quot;"/>
  </numFmts>
  <fonts count="31" x14ac:knownFonts="1">
    <font>
      <sz val="11"/>
      <color theme="1"/>
      <name val="Calibri"/>
    </font>
    <font>
      <b/>
      <sz val="28"/>
      <color rgb="FFFFFFFF"/>
      <name val="맑은 고딕"/>
      <family val="3"/>
      <charset val="129"/>
    </font>
    <font>
      <sz val="12"/>
      <color rgb="FF4B5563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111111"/>
      <name val="맑은 고딕"/>
      <family val="3"/>
      <charset val="129"/>
    </font>
    <font>
      <b/>
      <sz val="13"/>
      <color rgb="FF0F766E"/>
      <name val="맑은 고딕"/>
      <family val="3"/>
      <charset val="129"/>
    </font>
    <font>
      <sz val="10"/>
      <color rgb="FF4B5563"/>
      <name val="맑은 고딕"/>
      <family val="3"/>
      <charset val="129"/>
    </font>
    <font>
      <b/>
      <sz val="18"/>
      <color rgb="FF0F766E"/>
      <name val="맑은 고딕"/>
      <family val="3"/>
      <charset val="129"/>
    </font>
    <font>
      <b/>
      <sz val="10"/>
      <color rgb="FF0F766E"/>
      <name val="맑은 고딕"/>
      <family val="3"/>
      <charset val="129"/>
    </font>
    <font>
      <b/>
      <sz val="10"/>
      <color rgb="FF4B5563"/>
      <name val="맑은 고딕"/>
      <family val="3"/>
      <charset val="129"/>
    </font>
    <font>
      <b/>
      <sz val="11"/>
      <color rgb="FF1F2937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9"/>
      <color rgb="FFFFFFFF"/>
      <name val="맑은 고딕"/>
      <family val="3"/>
      <charset val="129"/>
    </font>
    <font>
      <b/>
      <sz val="12"/>
      <color rgb="FF0F766E"/>
      <name val="맑은 고딕"/>
      <family val="3"/>
      <charset val="129"/>
    </font>
    <font>
      <b/>
      <sz val="11"/>
      <color rgb="FF0F766E"/>
      <name val="맑은 고딕"/>
      <family val="3"/>
      <charset val="129"/>
    </font>
    <font>
      <sz val="9"/>
      <color rgb="FF4B5563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B45309"/>
      <name val="맑은 고딕"/>
      <family val="3"/>
      <charset val="129"/>
    </font>
    <font>
      <b/>
      <sz val="10"/>
      <color rgb="FF0369A1"/>
      <name val="맑은 고딕"/>
      <family val="3"/>
      <charset val="129"/>
    </font>
    <font>
      <b/>
      <sz val="11"/>
      <color rgb="FF0369A1"/>
      <name val="맑은 고딕"/>
      <family val="3"/>
      <charset val="129"/>
    </font>
    <font>
      <b/>
      <sz val="16"/>
      <color rgb="FF0F766E"/>
      <name val="맑은 고딕"/>
      <family val="3"/>
      <charset val="129"/>
    </font>
    <font>
      <sz val="9"/>
      <color rgb="FF6B7280"/>
      <name val="맑은 고딕"/>
      <family val="3"/>
      <charset val="129"/>
    </font>
    <font>
      <b/>
      <sz val="12"/>
      <color rgb="FF111111"/>
      <name val="맑은 고딕"/>
      <family val="3"/>
      <charset val="129"/>
    </font>
    <font>
      <b/>
      <sz val="2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11"/>
      <color theme="1"/>
      <name val="Calibri"/>
    </font>
    <font>
      <sz val="8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374151"/>
      </patternFill>
    </fill>
    <fill>
      <patternFill patternType="solid">
        <fgColor rgb="FFF3F4F6"/>
      </patternFill>
    </fill>
    <fill>
      <patternFill patternType="solid">
        <fgColor rgb="FFCCFBF1"/>
      </patternFill>
    </fill>
    <fill>
      <patternFill patternType="solid">
        <fgColor rgb="FF4B5563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3E8FF"/>
      </patternFill>
    </fill>
    <fill>
      <patternFill patternType="solid">
        <fgColor rgb="FFFFE4E6"/>
      </patternFill>
    </fill>
    <fill>
      <patternFill patternType="solid">
        <fgColor rgb="FF0F766E"/>
      </patternFill>
    </fill>
    <fill>
      <patternFill patternType="solid">
        <fgColor rgb="FFF3F4F6"/>
      </patternFill>
    </fill>
    <fill>
      <patternFill patternType="solid">
        <fgColor rgb="FF0D9488"/>
      </patternFill>
    </fill>
  </fills>
  <borders count="7">
    <border>
      <left/>
      <right/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595959"/>
      </top>
      <bottom style="medium">
        <color rgb="FF595959"/>
      </bottom>
      <diagonal/>
    </border>
    <border>
      <left/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9" fillId="0" borderId="0"/>
  </cellStyleXfs>
  <cellXfs count="132">
    <xf numFmtId="0" fontId="0" fillId="0" borderId="0" xfId="0"/>
    <xf numFmtId="0" fontId="3" fillId="4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7" fillId="5" borderId="2" xfId="1" applyFont="1" applyFill="1" applyBorder="1" applyAlignment="1">
      <alignment horizontal="center" vertical="center" wrapText="1"/>
    </xf>
    <xf numFmtId="176" fontId="8" fillId="0" borderId="2" xfId="1" applyNumberFormat="1" applyFont="1" applyBorder="1" applyAlignment="1">
      <alignment horizontal="right" vertical="center" wrapText="1"/>
    </xf>
    <xf numFmtId="0" fontId="7" fillId="6" borderId="2" xfId="1" applyFont="1" applyFill="1" applyBorder="1" applyAlignment="1">
      <alignment horizontal="center" vertical="center" wrapText="1"/>
    </xf>
    <xf numFmtId="176" fontId="10" fillId="6" borderId="2" xfId="1" applyNumberFormat="1" applyFont="1" applyFill="1" applyBorder="1" applyAlignment="1">
      <alignment horizontal="right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15" fillId="4" borderId="2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17" fillId="6" borderId="2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left" vertical="center" wrapText="1"/>
    </xf>
    <xf numFmtId="0" fontId="18" fillId="6" borderId="2" xfId="1" applyFont="1" applyFill="1" applyBorder="1" applyAlignment="1">
      <alignment horizontal="left" vertical="top" wrapText="1"/>
    </xf>
    <xf numFmtId="0" fontId="18" fillId="6" borderId="2" xfId="1" applyFont="1" applyFill="1" applyBorder="1" applyAlignment="1">
      <alignment horizontal="center" vertical="center" wrapText="1"/>
    </xf>
    <xf numFmtId="0" fontId="12" fillId="6" borderId="2" xfId="1" applyFont="1" applyFill="1" applyBorder="1" applyAlignment="1">
      <alignment horizontal="center" vertical="center" wrapText="1"/>
    </xf>
    <xf numFmtId="176" fontId="17" fillId="6" borderId="2" xfId="1" applyNumberFormat="1" applyFont="1" applyFill="1" applyBorder="1" applyAlignment="1">
      <alignment horizontal="right" vertical="center" wrapText="1"/>
    </xf>
    <xf numFmtId="0" fontId="17" fillId="9" borderId="2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left" vertical="center" wrapText="1"/>
    </xf>
    <xf numFmtId="0" fontId="18" fillId="9" borderId="2" xfId="1" applyFont="1" applyFill="1" applyBorder="1" applyAlignment="1">
      <alignment horizontal="left" vertical="top" wrapText="1"/>
    </xf>
    <xf numFmtId="0" fontId="18" fillId="9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center" vertical="center" wrapText="1"/>
    </xf>
    <xf numFmtId="176" fontId="17" fillId="9" borderId="2" xfId="1" applyNumberFormat="1" applyFont="1" applyFill="1" applyBorder="1" applyAlignment="1">
      <alignment horizontal="right" vertical="center" wrapText="1"/>
    </xf>
    <xf numFmtId="0" fontId="17" fillId="10" borderId="2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left" vertical="center" wrapText="1"/>
    </xf>
    <xf numFmtId="0" fontId="18" fillId="10" borderId="2" xfId="1" applyFont="1" applyFill="1" applyBorder="1" applyAlignment="1">
      <alignment horizontal="left" vertical="top" wrapText="1"/>
    </xf>
    <xf numFmtId="0" fontId="18" fillId="10" borderId="2" xfId="1" applyFont="1" applyFill="1" applyBorder="1" applyAlignment="1">
      <alignment horizontal="center" vertical="center" wrapText="1"/>
    </xf>
    <xf numFmtId="0" fontId="12" fillId="10" borderId="2" xfId="1" applyFont="1" applyFill="1" applyBorder="1" applyAlignment="1">
      <alignment horizontal="center" vertical="center" wrapText="1"/>
    </xf>
    <xf numFmtId="176" fontId="17" fillId="10" borderId="2" xfId="1" applyNumberFormat="1" applyFont="1" applyFill="1" applyBorder="1" applyAlignment="1">
      <alignment horizontal="right" vertical="center" wrapText="1"/>
    </xf>
    <xf numFmtId="0" fontId="17" fillId="8" borderId="2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left" vertical="center" wrapText="1"/>
    </xf>
    <xf numFmtId="0" fontId="18" fillId="8" borderId="2" xfId="1" applyFont="1" applyFill="1" applyBorder="1" applyAlignment="1">
      <alignment horizontal="left" vertical="top" wrapText="1"/>
    </xf>
    <xf numFmtId="0" fontId="18" fillId="8" borderId="2" xfId="1" applyFont="1" applyFill="1" applyBorder="1" applyAlignment="1">
      <alignment horizontal="center" vertical="center" wrapText="1"/>
    </xf>
    <xf numFmtId="0" fontId="12" fillId="8" borderId="2" xfId="1" applyFont="1" applyFill="1" applyBorder="1" applyAlignment="1">
      <alignment horizontal="center" vertical="center" wrapText="1"/>
    </xf>
    <xf numFmtId="176" fontId="17" fillId="8" borderId="2" xfId="1" applyNumberFormat="1" applyFont="1" applyFill="1" applyBorder="1" applyAlignment="1">
      <alignment horizontal="right" vertical="center" wrapText="1"/>
    </xf>
    <xf numFmtId="0" fontId="17" fillId="11" borderId="2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left" vertical="center" wrapText="1"/>
    </xf>
    <xf numFmtId="0" fontId="18" fillId="11" borderId="2" xfId="1" applyFont="1" applyFill="1" applyBorder="1" applyAlignment="1">
      <alignment horizontal="left" vertical="top" wrapText="1"/>
    </xf>
    <xf numFmtId="0" fontId="18" fillId="11" borderId="2" xfId="1" applyFont="1" applyFill="1" applyBorder="1" applyAlignment="1">
      <alignment horizontal="center" vertical="center" wrapText="1"/>
    </xf>
    <xf numFmtId="0" fontId="12" fillId="11" borderId="2" xfId="1" applyFont="1" applyFill="1" applyBorder="1" applyAlignment="1">
      <alignment horizontal="center" vertical="center" wrapText="1"/>
    </xf>
    <xf numFmtId="176" fontId="17" fillId="11" borderId="2" xfId="1" applyNumberFormat="1" applyFont="1" applyFill="1" applyBorder="1" applyAlignment="1">
      <alignment horizontal="right" vertical="center" wrapText="1"/>
    </xf>
    <xf numFmtId="0" fontId="17" fillId="12" borderId="2" xfId="1" applyFont="1" applyFill="1" applyBorder="1" applyAlignment="1">
      <alignment horizontal="center" vertical="center" wrapText="1"/>
    </xf>
    <xf numFmtId="0" fontId="7" fillId="12" borderId="2" xfId="1" applyFont="1" applyFill="1" applyBorder="1" applyAlignment="1">
      <alignment horizontal="left" vertical="center" wrapText="1"/>
    </xf>
    <xf numFmtId="0" fontId="18" fillId="12" borderId="2" xfId="1" applyFont="1" applyFill="1" applyBorder="1" applyAlignment="1">
      <alignment horizontal="left" vertical="top" wrapText="1"/>
    </xf>
    <xf numFmtId="0" fontId="18" fillId="12" borderId="2" xfId="1" applyFont="1" applyFill="1" applyBorder="1" applyAlignment="1">
      <alignment horizontal="center" vertical="center" wrapText="1"/>
    </xf>
    <xf numFmtId="0" fontId="12" fillId="12" borderId="2" xfId="1" applyFont="1" applyFill="1" applyBorder="1" applyAlignment="1">
      <alignment horizontal="center" vertical="center" wrapText="1"/>
    </xf>
    <xf numFmtId="176" fontId="17" fillId="12" borderId="2" xfId="1" applyNumberFormat="1" applyFont="1" applyFill="1" applyBorder="1" applyAlignment="1">
      <alignment horizontal="right" vertical="center" wrapText="1"/>
    </xf>
    <xf numFmtId="0" fontId="17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left" vertical="center" wrapText="1"/>
    </xf>
    <xf numFmtId="0" fontId="18" fillId="5" borderId="2" xfId="1" applyFont="1" applyFill="1" applyBorder="1" applyAlignment="1">
      <alignment horizontal="left" vertical="top" wrapText="1"/>
    </xf>
    <xf numFmtId="0" fontId="18" fillId="5" borderId="2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176" fontId="17" fillId="5" borderId="2" xfId="1" applyNumberFormat="1" applyFont="1" applyFill="1" applyBorder="1" applyAlignment="1">
      <alignment horizontal="right" vertical="center" wrapText="1"/>
    </xf>
    <xf numFmtId="176" fontId="19" fillId="2" borderId="1" xfId="1" applyNumberFormat="1" applyFont="1" applyFill="1" applyBorder="1" applyAlignment="1">
      <alignment horizontal="right" vertical="center" wrapText="1"/>
    </xf>
    <xf numFmtId="176" fontId="7" fillId="5" borderId="2" xfId="1" applyNumberFormat="1" applyFont="1" applyFill="1" applyBorder="1" applyAlignment="1">
      <alignment horizontal="right" vertical="center" wrapText="1"/>
    </xf>
    <xf numFmtId="176" fontId="10" fillId="6" borderId="1" xfId="1" applyNumberFormat="1" applyFont="1" applyFill="1" applyBorder="1" applyAlignment="1">
      <alignment horizontal="right" vertical="center" wrapText="1"/>
    </xf>
    <xf numFmtId="0" fontId="20" fillId="2" borderId="2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11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 wrapText="1"/>
    </xf>
    <xf numFmtId="0" fontId="11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 wrapText="1"/>
    </xf>
    <xf numFmtId="0" fontId="11" fillId="8" borderId="2" xfId="1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left" vertical="center" wrapText="1"/>
    </xf>
    <xf numFmtId="0" fontId="11" fillId="11" borderId="2" xfId="1" applyFont="1" applyFill="1" applyBorder="1" applyAlignment="1">
      <alignment horizontal="center" vertical="center" wrapText="1"/>
    </xf>
    <xf numFmtId="0" fontId="4" fillId="11" borderId="2" xfId="1" applyFont="1" applyFill="1" applyBorder="1" applyAlignment="1">
      <alignment horizontal="left" vertical="center" wrapText="1"/>
    </xf>
    <xf numFmtId="0" fontId="11" fillId="12" borderId="2" xfId="1" applyFont="1" applyFill="1" applyBorder="1" applyAlignment="1">
      <alignment horizontal="center" vertical="center" wrapText="1"/>
    </xf>
    <xf numFmtId="0" fontId="4" fillId="12" borderId="2" xfId="1" applyFont="1" applyFill="1" applyBorder="1" applyAlignment="1">
      <alignment horizontal="left" vertical="center" wrapText="1"/>
    </xf>
    <xf numFmtId="0" fontId="11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center" vertical="center" wrapText="1"/>
    </xf>
    <xf numFmtId="176" fontId="11" fillId="6" borderId="2" xfId="1" applyNumberFormat="1" applyFont="1" applyFill="1" applyBorder="1" applyAlignment="1">
      <alignment horizontal="right" vertical="center" wrapText="1"/>
    </xf>
    <xf numFmtId="176" fontId="11" fillId="9" borderId="2" xfId="1" applyNumberFormat="1" applyFont="1" applyFill="1" applyBorder="1" applyAlignment="1">
      <alignment horizontal="right" vertical="center" wrapText="1"/>
    </xf>
    <xf numFmtId="176" fontId="11" fillId="10" borderId="2" xfId="1" applyNumberFormat="1" applyFont="1" applyFill="1" applyBorder="1" applyAlignment="1">
      <alignment horizontal="right" vertical="center" wrapText="1"/>
    </xf>
    <xf numFmtId="176" fontId="11" fillId="8" borderId="2" xfId="1" applyNumberFormat="1" applyFont="1" applyFill="1" applyBorder="1" applyAlignment="1">
      <alignment horizontal="right" vertical="center" wrapText="1"/>
    </xf>
    <xf numFmtId="176" fontId="11" fillId="11" borderId="2" xfId="1" applyNumberFormat="1" applyFont="1" applyFill="1" applyBorder="1" applyAlignment="1">
      <alignment horizontal="right" vertical="center" wrapText="1"/>
    </xf>
    <xf numFmtId="176" fontId="11" fillId="12" borderId="2" xfId="1" applyNumberFormat="1" applyFont="1" applyFill="1" applyBorder="1" applyAlignment="1">
      <alignment horizontal="right" vertical="center" wrapText="1"/>
    </xf>
    <xf numFmtId="176" fontId="11" fillId="5" borderId="2" xfId="1" applyNumberFormat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right" vertical="center" wrapText="1"/>
    </xf>
    <xf numFmtId="0" fontId="23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right" vertical="center" wrapText="1"/>
    </xf>
    <xf numFmtId="176" fontId="22" fillId="9" borderId="2" xfId="1" applyNumberFormat="1" applyFont="1" applyFill="1" applyBorder="1" applyAlignment="1">
      <alignment horizontal="right" vertical="center" wrapText="1"/>
    </xf>
    <xf numFmtId="0" fontId="6" fillId="3" borderId="1" xfId="1" applyFont="1" applyFill="1" applyBorder="1" applyAlignment="1">
      <alignment horizontal="right" vertical="center" wrapText="1"/>
    </xf>
    <xf numFmtId="176" fontId="6" fillId="3" borderId="1" xfId="1" applyNumberFormat="1" applyFont="1" applyFill="1" applyBorder="1" applyAlignment="1">
      <alignment horizontal="right" vertical="center" wrapText="1"/>
    </xf>
    <xf numFmtId="176" fontId="19" fillId="3" borderId="1" xfId="1" applyNumberFormat="1" applyFont="1" applyFill="1" applyBorder="1" applyAlignment="1">
      <alignment horizontal="right" vertical="center" wrapText="1"/>
    </xf>
    <xf numFmtId="176" fontId="24" fillId="6" borderId="1" xfId="1" applyNumberFormat="1" applyFont="1" applyFill="1" applyBorder="1" applyAlignment="1">
      <alignment horizontal="right" vertical="center" wrapText="1"/>
    </xf>
    <xf numFmtId="0" fontId="11" fillId="6" borderId="2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21" fillId="8" borderId="2" xfId="1" applyFont="1" applyFill="1" applyBorder="1" applyAlignment="1">
      <alignment horizontal="left" vertical="center" wrapText="1"/>
    </xf>
    <xf numFmtId="176" fontId="21" fillId="8" borderId="2" xfId="1" applyNumberFormat="1" applyFont="1" applyFill="1" applyBorder="1" applyAlignment="1">
      <alignment horizontal="right" vertical="center" wrapText="1"/>
    </xf>
    <xf numFmtId="0" fontId="0" fillId="0" borderId="5" xfId="1" applyFont="1" applyBorder="1"/>
    <xf numFmtId="0" fontId="0" fillId="0" borderId="6" xfId="1" applyFont="1" applyBorder="1"/>
    <xf numFmtId="0" fontId="7" fillId="14" borderId="0" xfId="1" applyFont="1" applyFill="1" applyAlignment="1">
      <alignment horizontal="center" vertical="center"/>
    </xf>
    <xf numFmtId="0" fontId="26" fillId="15" borderId="0" xfId="1" applyFont="1" applyFill="1" applyAlignment="1">
      <alignment horizontal="center" vertical="center"/>
    </xf>
    <xf numFmtId="0" fontId="0" fillId="3" borderId="1" xfId="1" applyFont="1" applyFill="1" applyBorder="1"/>
    <xf numFmtId="0" fontId="0" fillId="0" borderId="3" xfId="1" applyFont="1" applyBorder="1"/>
    <xf numFmtId="0" fontId="0" fillId="0" borderId="4" xfId="1" applyFont="1" applyBorder="1"/>
    <xf numFmtId="0" fontId="9" fillId="0" borderId="2" xfId="1" applyFont="1" applyBorder="1" applyAlignment="1">
      <alignment horizontal="left" vertical="center" wrapText="1"/>
    </xf>
    <xf numFmtId="0" fontId="0" fillId="0" borderId="5" xfId="1" applyFont="1" applyBorder="1"/>
    <xf numFmtId="0" fontId="0" fillId="0" borderId="6" xfId="1" applyFont="1" applyBorder="1"/>
    <xf numFmtId="0" fontId="5" fillId="0" borderId="2" xfId="1" applyFont="1" applyBorder="1" applyAlignment="1">
      <alignment horizontal="left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0" fillId="0" borderId="0" xfId="0"/>
    <xf numFmtId="0" fontId="3" fillId="7" borderId="2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4" fillId="5" borderId="2" xfId="1" applyFont="1" applyFill="1" applyBorder="1" applyAlignment="1">
      <alignment horizontal="center" vertical="center" wrapText="1"/>
    </xf>
    <xf numFmtId="177" fontId="8" fillId="0" borderId="0" xfId="1" applyNumberFormat="1" applyFont="1" applyAlignment="1">
      <alignment horizontal="right" vertical="center"/>
    </xf>
    <xf numFmtId="0" fontId="25" fillId="0" borderId="0" xfId="1" applyFont="1" applyAlignment="1">
      <alignment horizontal="left" vertical="center"/>
    </xf>
    <xf numFmtId="0" fontId="11" fillId="0" borderId="2" xfId="1" applyFont="1" applyBorder="1" applyAlignment="1">
      <alignment horizontal="left" vertical="center" wrapText="1"/>
    </xf>
    <xf numFmtId="0" fontId="6" fillId="13" borderId="0" xfId="1" applyFont="1" applyFill="1" applyAlignment="1">
      <alignment horizontal="center" vertical="center"/>
    </xf>
    <xf numFmtId="0" fontId="9" fillId="6" borderId="2" xfId="1" applyFont="1" applyFill="1" applyBorder="1" applyAlignment="1">
      <alignment horizontal="left" vertical="center" wrapText="1"/>
    </xf>
    <xf numFmtId="177" fontId="27" fillId="15" borderId="0" xfId="1" applyNumberFormat="1" applyFont="1" applyFill="1" applyAlignment="1">
      <alignment horizontal="right" vertical="center"/>
    </xf>
    <xf numFmtId="0" fontId="28" fillId="15" borderId="0" xfId="1" applyFont="1" applyFill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9" fillId="9" borderId="2" xfId="1" applyFont="1" applyFill="1" applyBorder="1" applyAlignment="1">
      <alignment horizontal="left" vertical="center" wrapText="1"/>
    </xf>
    <xf numFmtId="0" fontId="9" fillId="11" borderId="2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right" vertical="center" wrapText="1"/>
    </xf>
    <xf numFmtId="0" fontId="9" fillId="8" borderId="2" xfId="1" applyFont="1" applyFill="1" applyBorder="1" applyAlignment="1">
      <alignment horizontal="left" vertical="center" wrapText="1"/>
    </xf>
    <xf numFmtId="0" fontId="9" fillId="10" borderId="2" xfId="1" applyFont="1" applyFill="1" applyBorder="1" applyAlignment="1">
      <alignment horizontal="left" vertical="center" wrapText="1"/>
    </xf>
    <xf numFmtId="0" fontId="9" fillId="12" borderId="2" xfId="1" applyFont="1" applyFill="1" applyBorder="1" applyAlignment="1">
      <alignment horizontal="left" vertical="center" wrapText="1"/>
    </xf>
    <xf numFmtId="0" fontId="7" fillId="5" borderId="2" xfId="1" applyFont="1" applyFill="1" applyBorder="1" applyAlignment="1">
      <alignment horizontal="right" vertical="center" wrapText="1"/>
    </xf>
    <xf numFmtId="0" fontId="8" fillId="6" borderId="1" xfId="1" applyFont="1" applyFill="1" applyBorder="1" applyAlignment="1">
      <alignment horizontal="right" vertical="center" wrapText="1"/>
    </xf>
    <xf numFmtId="0" fontId="9" fillId="5" borderId="2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7"/>
  <sheetViews>
    <sheetView showGridLines="0" tabSelected="1" workbookViewId="0">
      <selection activeCell="M13" sqref="M13"/>
    </sheetView>
  </sheetViews>
  <sheetFormatPr defaultRowHeight="15" x14ac:dyDescent="0.25"/>
  <cols>
    <col min="1" max="1" width="2" customWidth="1"/>
    <col min="2" max="2" width="14" customWidth="1"/>
    <col min="3" max="3" width="22.7109375" bestFit="1" customWidth="1"/>
    <col min="4" max="5" width="14" customWidth="1"/>
    <col min="6" max="6" width="16" customWidth="1"/>
    <col min="7" max="7" width="2" customWidth="1"/>
  </cols>
  <sheetData>
    <row r="1" spans="2:6" ht="9.9499999999999993" customHeight="1" x14ac:dyDescent="0.25"/>
    <row r="2" spans="2:6" ht="51.95" customHeight="1" x14ac:dyDescent="0.25">
      <c r="B2" s="109" t="s">
        <v>0</v>
      </c>
      <c r="C2" s="107"/>
      <c r="D2" s="107"/>
      <c r="E2" s="107"/>
      <c r="F2" s="107"/>
    </row>
    <row r="3" spans="2:6" ht="21.95" customHeight="1" x14ac:dyDescent="0.25">
      <c r="B3" s="106" t="s">
        <v>1</v>
      </c>
      <c r="C3" s="107"/>
      <c r="D3" s="107"/>
      <c r="E3" s="107"/>
      <c r="F3" s="107"/>
    </row>
    <row r="4" spans="2:6" ht="5.0999999999999996" customHeight="1" x14ac:dyDescent="0.25">
      <c r="B4" s="98"/>
      <c r="C4" s="99"/>
      <c r="D4" s="99"/>
      <c r="E4" s="99"/>
      <c r="F4" s="100"/>
    </row>
    <row r="5" spans="2:6" ht="12" customHeight="1" x14ac:dyDescent="0.25"/>
    <row r="6" spans="2:6" ht="26.1" customHeight="1" x14ac:dyDescent="0.25">
      <c r="B6" s="110" t="s">
        <v>2</v>
      </c>
      <c r="C6" s="102"/>
      <c r="D6" s="102"/>
      <c r="E6" s="102"/>
      <c r="F6" s="103"/>
    </row>
    <row r="7" spans="2:6" ht="21.95" customHeight="1" x14ac:dyDescent="0.25">
      <c r="B7" s="2" t="s">
        <v>3</v>
      </c>
      <c r="C7" s="104" t="s">
        <v>4</v>
      </c>
      <c r="D7" s="102"/>
      <c r="E7" s="102"/>
      <c r="F7" s="103"/>
    </row>
    <row r="8" spans="2:6" ht="21.95" customHeight="1" x14ac:dyDescent="0.25">
      <c r="B8" s="2" t="s">
        <v>5</v>
      </c>
      <c r="C8" s="104" t="s">
        <v>6</v>
      </c>
      <c r="D8" s="102"/>
      <c r="E8" s="102"/>
      <c r="F8" s="103"/>
    </row>
    <row r="9" spans="2:6" ht="21.95" customHeight="1" x14ac:dyDescent="0.25">
      <c r="B9" s="2" t="s">
        <v>7</v>
      </c>
      <c r="C9" s="104" t="s">
        <v>8</v>
      </c>
      <c r="D9" s="102"/>
      <c r="E9" s="102"/>
      <c r="F9" s="103"/>
    </row>
    <row r="10" spans="2:6" ht="21.95" customHeight="1" x14ac:dyDescent="0.25">
      <c r="B10" s="2" t="s">
        <v>9</v>
      </c>
      <c r="C10" s="104" t="s">
        <v>8</v>
      </c>
      <c r="D10" s="102"/>
      <c r="E10" s="102"/>
      <c r="F10" s="103"/>
    </row>
    <row r="11" spans="2:6" ht="26.1" customHeight="1" x14ac:dyDescent="0.25">
      <c r="B11" s="110" t="s">
        <v>10</v>
      </c>
      <c r="C11" s="102"/>
      <c r="D11" s="102"/>
      <c r="E11" s="102"/>
      <c r="F11" s="103"/>
    </row>
    <row r="12" spans="2:6" ht="21.95" customHeight="1" x14ac:dyDescent="0.25">
      <c r="B12" s="2" t="s">
        <v>11</v>
      </c>
      <c r="C12" s="104" t="s">
        <v>12</v>
      </c>
      <c r="D12" s="102"/>
      <c r="E12" s="102"/>
      <c r="F12" s="103"/>
    </row>
    <row r="13" spans="2:6" ht="21.95" customHeight="1" x14ac:dyDescent="0.25">
      <c r="B13" s="2" t="s">
        <v>5</v>
      </c>
      <c r="C13" s="104" t="s">
        <v>13</v>
      </c>
      <c r="D13" s="102"/>
      <c r="E13" s="102"/>
      <c r="F13" s="103"/>
    </row>
    <row r="14" spans="2:6" ht="21.95" customHeight="1" x14ac:dyDescent="0.25">
      <c r="B14" s="2" t="s">
        <v>7</v>
      </c>
      <c r="C14" s="104" t="s">
        <v>8</v>
      </c>
      <c r="D14" s="102"/>
      <c r="E14" s="102"/>
      <c r="F14" s="103"/>
    </row>
    <row r="15" spans="2:6" ht="12" customHeight="1" x14ac:dyDescent="0.25">
      <c r="B15" s="2" t="s">
        <v>14</v>
      </c>
      <c r="C15" s="104" t="s">
        <v>8</v>
      </c>
      <c r="D15" s="102"/>
      <c r="E15" s="102"/>
      <c r="F15" s="103"/>
    </row>
    <row r="16" spans="2:6" ht="27.95" customHeight="1" x14ac:dyDescent="0.25">
      <c r="B16" s="105" t="s">
        <v>15</v>
      </c>
      <c r="C16" s="99"/>
      <c r="D16" s="99"/>
      <c r="E16" s="99"/>
      <c r="F16" s="100"/>
    </row>
    <row r="17" spans="2:6" ht="27.95" customHeight="1" x14ac:dyDescent="0.25">
      <c r="B17" s="4" t="s">
        <v>16</v>
      </c>
      <c r="C17" s="5">
        <v>3000000</v>
      </c>
      <c r="D17" s="101" t="s">
        <v>17</v>
      </c>
      <c r="E17" s="102"/>
      <c r="F17" s="103"/>
    </row>
    <row r="18" spans="2:6" ht="27.95" customHeight="1" x14ac:dyDescent="0.25">
      <c r="B18" s="4" t="s">
        <v>18</v>
      </c>
      <c r="C18" s="5">
        <v>300000</v>
      </c>
      <c r="D18" s="101" t="s">
        <v>19</v>
      </c>
      <c r="E18" s="102"/>
      <c r="F18" s="103"/>
    </row>
    <row r="19" spans="2:6" ht="38.1" customHeight="1" x14ac:dyDescent="0.25">
      <c r="B19" s="6" t="s">
        <v>20</v>
      </c>
      <c r="C19" s="7">
        <v>3300000</v>
      </c>
      <c r="D19" s="117" t="s">
        <v>21</v>
      </c>
      <c r="E19" s="102"/>
      <c r="F19" s="103"/>
    </row>
    <row r="20" spans="2:6" ht="12" customHeight="1" x14ac:dyDescent="0.25"/>
    <row r="21" spans="2:6" ht="26.1" customHeight="1" x14ac:dyDescent="0.25">
      <c r="B21" s="108" t="s">
        <v>22</v>
      </c>
      <c r="C21" s="102"/>
      <c r="D21" s="102"/>
      <c r="E21" s="102"/>
      <c r="F21" s="103"/>
    </row>
    <row r="22" spans="2:6" ht="21.95" customHeight="1" x14ac:dyDescent="0.25">
      <c r="B22" s="8" t="s">
        <v>23</v>
      </c>
      <c r="C22" s="101" t="s">
        <v>24</v>
      </c>
      <c r="D22" s="102"/>
      <c r="E22" s="102"/>
      <c r="F22" s="103"/>
    </row>
    <row r="23" spans="2:6" ht="21.95" customHeight="1" x14ac:dyDescent="0.25">
      <c r="B23" s="8" t="s">
        <v>25</v>
      </c>
      <c r="C23" s="101" t="s">
        <v>26</v>
      </c>
      <c r="D23" s="102"/>
      <c r="E23" s="102"/>
      <c r="F23" s="103"/>
    </row>
    <row r="24" spans="2:6" ht="21.95" customHeight="1" x14ac:dyDescent="0.25">
      <c r="B24" s="8" t="s">
        <v>18</v>
      </c>
      <c r="C24" s="101" t="s">
        <v>27</v>
      </c>
      <c r="D24" s="102"/>
      <c r="E24" s="102"/>
      <c r="F24" s="103"/>
    </row>
    <row r="25" spans="2:6" ht="21.95" customHeight="1" x14ac:dyDescent="0.25">
      <c r="B25" s="8" t="s">
        <v>28</v>
      </c>
      <c r="C25" s="115" t="s">
        <v>29</v>
      </c>
      <c r="D25" s="102"/>
      <c r="E25" s="102"/>
      <c r="F25" s="103"/>
    </row>
    <row r="26" spans="2:6" ht="21.95" customHeight="1" x14ac:dyDescent="0.25">
      <c r="B26" s="8" t="s">
        <v>30</v>
      </c>
      <c r="C26" s="101" t="s">
        <v>31</v>
      </c>
      <c r="D26" s="102"/>
      <c r="E26" s="102"/>
      <c r="F26" s="103"/>
    </row>
    <row r="27" spans="2:6" ht="12" customHeight="1" x14ac:dyDescent="0.25"/>
    <row r="28" spans="2:6" ht="27.95" customHeight="1" x14ac:dyDescent="0.25">
      <c r="B28" s="116" t="s">
        <v>32</v>
      </c>
      <c r="C28" s="107"/>
      <c r="D28" s="107"/>
      <c r="E28" s="107"/>
      <c r="F28" s="107"/>
    </row>
    <row r="29" spans="2:6" ht="21.95" customHeight="1" x14ac:dyDescent="0.25">
      <c r="B29" s="96" t="s">
        <v>33</v>
      </c>
      <c r="C29" s="113">
        <f>C19</f>
        <v>3300000</v>
      </c>
      <c r="D29" s="114" t="s">
        <v>34</v>
      </c>
      <c r="E29" s="107"/>
      <c r="F29" s="107"/>
    </row>
    <row r="30" spans="2:6" ht="21.95" customHeight="1" x14ac:dyDescent="0.25">
      <c r="B30" s="96" t="s">
        <v>35</v>
      </c>
      <c r="C30" s="113">
        <v>138600</v>
      </c>
      <c r="D30" s="114" t="s">
        <v>36</v>
      </c>
      <c r="E30" s="107"/>
      <c r="F30" s="107"/>
    </row>
    <row r="31" spans="2:6" ht="32.1" customHeight="1" x14ac:dyDescent="0.25">
      <c r="B31" s="97" t="s">
        <v>37</v>
      </c>
      <c r="C31" s="118">
        <f>C29+C30</f>
        <v>3438600</v>
      </c>
      <c r="D31" s="119" t="s">
        <v>38</v>
      </c>
      <c r="E31" s="107"/>
      <c r="F31" s="107"/>
    </row>
    <row r="32" spans="2:6" ht="6" customHeight="1" x14ac:dyDescent="0.25"/>
    <row r="33" spans="2:6" ht="26.1" customHeight="1" x14ac:dyDescent="0.25">
      <c r="B33" s="110" t="s">
        <v>39</v>
      </c>
      <c r="C33" s="102"/>
      <c r="D33" s="102"/>
      <c r="E33" s="102"/>
      <c r="F33" s="103"/>
    </row>
    <row r="34" spans="2:6" ht="21.95" customHeight="1" x14ac:dyDescent="0.25">
      <c r="B34" s="8" t="s">
        <v>40</v>
      </c>
      <c r="C34" s="111" t="s">
        <v>41</v>
      </c>
      <c r="D34" s="102"/>
      <c r="E34" s="102"/>
      <c r="F34" s="103"/>
    </row>
    <row r="35" spans="2:6" ht="21.95" customHeight="1" x14ac:dyDescent="0.25">
      <c r="B35" s="8" t="s">
        <v>42</v>
      </c>
      <c r="C35" s="115" t="s">
        <v>43</v>
      </c>
      <c r="D35" s="102"/>
      <c r="E35" s="102"/>
      <c r="F35" s="103"/>
    </row>
    <row r="36" spans="2:6" ht="21.95" customHeight="1" x14ac:dyDescent="0.25">
      <c r="B36" s="8" t="s">
        <v>44</v>
      </c>
      <c r="C36" s="111" t="s">
        <v>45</v>
      </c>
      <c r="D36" s="102"/>
      <c r="E36" s="102"/>
      <c r="F36" s="103"/>
    </row>
    <row r="37" spans="2:6" ht="21.95" customHeight="1" x14ac:dyDescent="0.25">
      <c r="C37" s="107"/>
      <c r="D37" s="107"/>
      <c r="E37" s="107"/>
      <c r="F37" s="107"/>
    </row>
    <row r="38" spans="2:6" ht="21.95" customHeight="1" x14ac:dyDescent="0.25">
      <c r="B38" s="1" t="s">
        <v>46</v>
      </c>
      <c r="C38" s="102"/>
      <c r="D38" s="102"/>
      <c r="E38" s="102"/>
      <c r="F38" s="103"/>
    </row>
    <row r="39" spans="2:6" ht="21.95" customHeight="1" x14ac:dyDescent="0.25">
      <c r="B39" s="2" t="s">
        <v>47</v>
      </c>
      <c r="C39" s="104" t="s">
        <v>48</v>
      </c>
      <c r="D39" s="102"/>
      <c r="E39" s="102"/>
      <c r="F39" s="103"/>
    </row>
    <row r="40" spans="2:6" ht="14.1" customHeight="1" x14ac:dyDescent="0.25">
      <c r="B40" s="2" t="s">
        <v>49</v>
      </c>
      <c r="C40" s="3" t="s">
        <v>50</v>
      </c>
      <c r="D40" s="94"/>
      <c r="E40" s="94"/>
      <c r="F40" s="95"/>
    </row>
    <row r="41" spans="2:6" ht="24" customHeight="1" x14ac:dyDescent="0.25">
      <c r="B41" s="112" t="s">
        <v>51</v>
      </c>
      <c r="C41" s="104" t="s">
        <v>52</v>
      </c>
      <c r="D41" s="102"/>
      <c r="E41" s="102"/>
      <c r="F41" s="103"/>
    </row>
    <row r="42" spans="2:6" ht="24" customHeight="1" x14ac:dyDescent="0.25">
      <c r="B42" s="112" t="s">
        <v>53</v>
      </c>
      <c r="C42" s="104" t="s">
        <v>54</v>
      </c>
      <c r="D42" s="102"/>
      <c r="E42" s="102"/>
      <c r="F42" s="103"/>
    </row>
    <row r="43" spans="2:6" ht="40.5" x14ac:dyDescent="0.25">
      <c r="B43" s="2" t="s">
        <v>55</v>
      </c>
      <c r="C43" s="3" t="s">
        <v>56</v>
      </c>
      <c r="D43" s="94"/>
      <c r="E43" s="94"/>
      <c r="F43" s="95"/>
    </row>
    <row r="44" spans="2:6" ht="40.5" x14ac:dyDescent="0.25">
      <c r="B44" s="2" t="s">
        <v>57</v>
      </c>
      <c r="C44" s="3" t="s">
        <v>58</v>
      </c>
      <c r="D44" s="94"/>
      <c r="E44" s="94"/>
      <c r="F44" s="95"/>
    </row>
    <row r="46" spans="2:6" ht="33" x14ac:dyDescent="0.25">
      <c r="B46" s="9" t="s">
        <v>59</v>
      </c>
    </row>
    <row r="47" spans="2:6" ht="49.5" x14ac:dyDescent="0.25">
      <c r="B47" s="10" t="s">
        <v>60</v>
      </c>
    </row>
  </sheetData>
  <mergeCells count="36">
    <mergeCell ref="B2:F2"/>
    <mergeCell ref="B11:F11"/>
    <mergeCell ref="C34:F34"/>
    <mergeCell ref="B42:F42"/>
    <mergeCell ref="D18:F18"/>
    <mergeCell ref="C30:F30"/>
    <mergeCell ref="C15:F15"/>
    <mergeCell ref="C24:F24"/>
    <mergeCell ref="B41:F41"/>
    <mergeCell ref="C14:F14"/>
    <mergeCell ref="C35:F35"/>
    <mergeCell ref="C26:F26"/>
    <mergeCell ref="B28:F28"/>
    <mergeCell ref="C29:F29"/>
    <mergeCell ref="C25:F25"/>
    <mergeCell ref="C10:F10"/>
    <mergeCell ref="B3:F3"/>
    <mergeCell ref="C7:F7"/>
    <mergeCell ref="C38:F38"/>
    <mergeCell ref="D17:F17"/>
    <mergeCell ref="C37:F37"/>
    <mergeCell ref="C13:F13"/>
    <mergeCell ref="B21:F21"/>
    <mergeCell ref="C22:F22"/>
    <mergeCell ref="C9:F9"/>
    <mergeCell ref="D19:F19"/>
    <mergeCell ref="C31:F31"/>
    <mergeCell ref="B6:F6"/>
    <mergeCell ref="B33:F33"/>
    <mergeCell ref="C12:F12"/>
    <mergeCell ref="C36:F36"/>
    <mergeCell ref="B4:F4"/>
    <mergeCell ref="C23:F23"/>
    <mergeCell ref="C39:F39"/>
    <mergeCell ref="C8:F8"/>
    <mergeCell ref="B16:F16"/>
  </mergeCells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8"/>
  <sheetViews>
    <sheetView showGridLines="0" topLeftCell="A7" workbookViewId="0"/>
  </sheetViews>
  <sheetFormatPr defaultRowHeight="15" x14ac:dyDescent="0.25"/>
  <cols>
    <col min="1" max="1" width="2" customWidth="1"/>
    <col min="2" max="2" width="5" customWidth="1"/>
    <col min="3" max="3" width="22" customWidth="1"/>
    <col min="4" max="4" width="45" customWidth="1"/>
    <col min="5" max="5" width="12" customWidth="1"/>
    <col min="6" max="6" width="8" customWidth="1"/>
    <col min="7" max="7" width="22.7109375" bestFit="1" customWidth="1"/>
    <col min="8" max="8" width="2" customWidth="1"/>
  </cols>
  <sheetData>
    <row r="1" spans="2:7" ht="9.9499999999999993" customHeight="1" x14ac:dyDescent="0.25"/>
    <row r="2" spans="2:7" ht="38.1" customHeight="1" x14ac:dyDescent="0.25">
      <c r="B2" s="121" t="s">
        <v>61</v>
      </c>
      <c r="C2" s="107"/>
      <c r="D2" s="107"/>
      <c r="E2" s="107"/>
      <c r="F2" s="107"/>
      <c r="G2" s="107"/>
    </row>
    <row r="3" spans="2:7" ht="18" customHeight="1" x14ac:dyDescent="0.25">
      <c r="B3" s="120" t="s">
        <v>62</v>
      </c>
      <c r="C3" s="107"/>
      <c r="D3" s="107"/>
      <c r="E3" s="107"/>
      <c r="F3" s="107"/>
      <c r="G3" s="107"/>
    </row>
    <row r="4" spans="2:7" ht="8.1" customHeight="1" x14ac:dyDescent="0.25"/>
    <row r="5" spans="2:7" ht="20.100000000000001" customHeight="1" x14ac:dyDescent="0.25">
      <c r="B5" s="11" t="s">
        <v>63</v>
      </c>
      <c r="C5" s="11" t="s">
        <v>64</v>
      </c>
      <c r="D5" s="11" t="s">
        <v>65</v>
      </c>
      <c r="E5" s="11" t="s">
        <v>66</v>
      </c>
      <c r="F5" s="11" t="s">
        <v>67</v>
      </c>
    </row>
    <row r="6" spans="2:7" ht="27.95" customHeight="1" x14ac:dyDescent="0.25">
      <c r="B6" s="12" t="s">
        <v>68</v>
      </c>
      <c r="C6" s="12" t="s">
        <v>69</v>
      </c>
      <c r="D6" s="12" t="s">
        <v>70</v>
      </c>
      <c r="E6" s="12" t="s">
        <v>71</v>
      </c>
      <c r="F6" s="12" t="s">
        <v>72</v>
      </c>
    </row>
    <row r="7" spans="2:7" ht="8.1" customHeight="1" x14ac:dyDescent="0.25"/>
    <row r="8" spans="2:7" ht="30" customHeight="1" x14ac:dyDescent="0.25">
      <c r="B8" s="13" t="s">
        <v>73</v>
      </c>
      <c r="C8" s="13" t="s">
        <v>74</v>
      </c>
      <c r="D8" s="13" t="s">
        <v>75</v>
      </c>
      <c r="E8" s="13" t="s">
        <v>76</v>
      </c>
      <c r="F8" s="13" t="s">
        <v>77</v>
      </c>
      <c r="G8" s="13" t="s">
        <v>78</v>
      </c>
    </row>
    <row r="9" spans="2:7" ht="69" customHeight="1" x14ac:dyDescent="0.25">
      <c r="B9" s="14" t="s">
        <v>79</v>
      </c>
      <c r="C9" s="15" t="s">
        <v>80</v>
      </c>
      <c r="D9" s="16" t="s">
        <v>81</v>
      </c>
      <c r="E9" s="17" t="s">
        <v>82</v>
      </c>
      <c r="F9" s="18">
        <v>35</v>
      </c>
      <c r="G9" s="19">
        <v>375000</v>
      </c>
    </row>
    <row r="10" spans="2:7" ht="69" customHeight="1" x14ac:dyDescent="0.25">
      <c r="B10" s="20" t="s">
        <v>83</v>
      </c>
      <c r="C10" s="21" t="s">
        <v>84</v>
      </c>
      <c r="D10" s="22" t="s">
        <v>85</v>
      </c>
      <c r="E10" s="23" t="s">
        <v>86</v>
      </c>
      <c r="F10" s="24">
        <v>34</v>
      </c>
      <c r="G10" s="25">
        <v>450000</v>
      </c>
    </row>
    <row r="11" spans="2:7" ht="69" customHeight="1" x14ac:dyDescent="0.25">
      <c r="B11" s="26" t="s">
        <v>87</v>
      </c>
      <c r="C11" s="27" t="s">
        <v>88</v>
      </c>
      <c r="D11" s="28" t="s">
        <v>89</v>
      </c>
      <c r="E11" s="29" t="s">
        <v>90</v>
      </c>
      <c r="F11" s="30">
        <v>62</v>
      </c>
      <c r="G11" s="31">
        <v>480000</v>
      </c>
    </row>
    <row r="12" spans="2:7" ht="69" customHeight="1" x14ac:dyDescent="0.25">
      <c r="B12" s="32" t="s">
        <v>91</v>
      </c>
      <c r="C12" s="33" t="s">
        <v>92</v>
      </c>
      <c r="D12" s="34" t="s">
        <v>93</v>
      </c>
      <c r="E12" s="35" t="s">
        <v>94</v>
      </c>
      <c r="F12" s="36">
        <v>68</v>
      </c>
      <c r="G12" s="37">
        <v>700000</v>
      </c>
    </row>
    <row r="13" spans="2:7" ht="69" customHeight="1" x14ac:dyDescent="0.25">
      <c r="B13" s="38" t="s">
        <v>95</v>
      </c>
      <c r="C13" s="39" t="s">
        <v>96</v>
      </c>
      <c r="D13" s="40" t="s">
        <v>97</v>
      </c>
      <c r="E13" s="41" t="s">
        <v>98</v>
      </c>
      <c r="F13" s="42">
        <v>42</v>
      </c>
      <c r="G13" s="43">
        <v>410000</v>
      </c>
    </row>
    <row r="14" spans="2:7" ht="69" customHeight="1" x14ac:dyDescent="0.25">
      <c r="B14" s="44" t="s">
        <v>99</v>
      </c>
      <c r="C14" s="45" t="s">
        <v>100</v>
      </c>
      <c r="D14" s="46" t="s">
        <v>101</v>
      </c>
      <c r="E14" s="47" t="s">
        <v>102</v>
      </c>
      <c r="F14" s="48">
        <v>48</v>
      </c>
      <c r="G14" s="49">
        <v>300000</v>
      </c>
    </row>
    <row r="15" spans="2:7" ht="69" customHeight="1" x14ac:dyDescent="0.25">
      <c r="B15" s="50" t="s">
        <v>103</v>
      </c>
      <c r="C15" s="51" t="s">
        <v>104</v>
      </c>
      <c r="D15" s="52" t="s">
        <v>105</v>
      </c>
      <c r="E15" s="53" t="s">
        <v>106</v>
      </c>
      <c r="F15" s="54">
        <v>38</v>
      </c>
      <c r="G15" s="55">
        <v>285000</v>
      </c>
    </row>
    <row r="16" spans="2:7" ht="30" customHeight="1" x14ac:dyDescent="0.25">
      <c r="B16" s="124" t="s">
        <v>107</v>
      </c>
      <c r="C16" s="99"/>
      <c r="D16" s="99"/>
      <c r="E16" s="99"/>
      <c r="F16" s="100"/>
      <c r="G16" s="56">
        <f>SUM(G9:G15)</f>
        <v>3000000</v>
      </c>
    </row>
    <row r="17" spans="2:7" ht="26.1" customHeight="1" x14ac:dyDescent="0.25">
      <c r="B17" s="128" t="s">
        <v>108</v>
      </c>
      <c r="C17" s="102"/>
      <c r="D17" s="102"/>
      <c r="E17" s="102"/>
      <c r="F17" s="103"/>
      <c r="G17" s="57">
        <f>ROUND(G16*0.1,-3)</f>
        <v>300000</v>
      </c>
    </row>
    <row r="18" spans="2:7" ht="39.950000000000003" customHeight="1" x14ac:dyDescent="0.25">
      <c r="B18" s="129" t="s">
        <v>109</v>
      </c>
      <c r="C18" s="99"/>
      <c r="D18" s="99"/>
      <c r="E18" s="99"/>
      <c r="F18" s="100"/>
      <c r="G18" s="58">
        <f>G16+G17</f>
        <v>3300000</v>
      </c>
    </row>
    <row r="20" spans="2:7" ht="26.1" customHeight="1" x14ac:dyDescent="0.25">
      <c r="B20" s="110" t="s">
        <v>110</v>
      </c>
      <c r="C20" s="102"/>
      <c r="D20" s="102"/>
      <c r="E20" s="102"/>
      <c r="F20" s="102"/>
      <c r="G20" s="103"/>
    </row>
    <row r="21" spans="2:7" ht="24" customHeight="1" x14ac:dyDescent="0.25">
      <c r="B21" s="59" t="s">
        <v>73</v>
      </c>
      <c r="C21" s="59" t="s">
        <v>74</v>
      </c>
      <c r="D21" s="59" t="s">
        <v>111</v>
      </c>
    </row>
    <row r="22" spans="2:7" ht="21.95" customHeight="1" x14ac:dyDescent="0.25">
      <c r="B22" s="60" t="s">
        <v>79</v>
      </c>
      <c r="C22" s="61" t="s">
        <v>80</v>
      </c>
      <c r="D22" s="117" t="s">
        <v>112</v>
      </c>
      <c r="E22" s="102"/>
      <c r="F22" s="102"/>
      <c r="G22" s="103"/>
    </row>
    <row r="23" spans="2:7" ht="21.95" customHeight="1" x14ac:dyDescent="0.25">
      <c r="B23" s="62" t="s">
        <v>83</v>
      </c>
      <c r="C23" s="63" t="s">
        <v>84</v>
      </c>
      <c r="D23" s="122" t="s">
        <v>113</v>
      </c>
      <c r="E23" s="102"/>
      <c r="F23" s="102"/>
      <c r="G23" s="103"/>
    </row>
    <row r="24" spans="2:7" ht="21.95" customHeight="1" x14ac:dyDescent="0.25">
      <c r="B24" s="64" t="s">
        <v>87</v>
      </c>
      <c r="C24" s="65" t="s">
        <v>88</v>
      </c>
      <c r="D24" s="126" t="s">
        <v>114</v>
      </c>
      <c r="E24" s="102"/>
      <c r="F24" s="102"/>
      <c r="G24" s="103"/>
    </row>
    <row r="25" spans="2:7" ht="21.95" customHeight="1" x14ac:dyDescent="0.25">
      <c r="B25" s="66" t="s">
        <v>91</v>
      </c>
      <c r="C25" s="67" t="s">
        <v>92</v>
      </c>
      <c r="D25" s="125" t="s">
        <v>115</v>
      </c>
      <c r="E25" s="102"/>
      <c r="F25" s="102"/>
      <c r="G25" s="103"/>
    </row>
    <row r="26" spans="2:7" ht="21.95" customHeight="1" x14ac:dyDescent="0.25">
      <c r="B26" s="68" t="s">
        <v>95</v>
      </c>
      <c r="C26" s="69" t="s">
        <v>96</v>
      </c>
      <c r="D26" s="123" t="s">
        <v>116</v>
      </c>
      <c r="E26" s="102"/>
      <c r="F26" s="102"/>
      <c r="G26" s="103"/>
    </row>
    <row r="27" spans="2:7" ht="21.95" customHeight="1" x14ac:dyDescent="0.25">
      <c r="B27" s="70" t="s">
        <v>99</v>
      </c>
      <c r="C27" s="71" t="s">
        <v>100</v>
      </c>
      <c r="D27" s="127" t="s">
        <v>117</v>
      </c>
      <c r="E27" s="102"/>
      <c r="F27" s="102"/>
      <c r="G27" s="103"/>
    </row>
    <row r="28" spans="2:7" ht="21.95" customHeight="1" x14ac:dyDescent="0.25">
      <c r="B28" s="72" t="s">
        <v>103</v>
      </c>
      <c r="C28" s="73" t="s">
        <v>104</v>
      </c>
      <c r="D28" s="130" t="s">
        <v>118</v>
      </c>
      <c r="E28" s="102"/>
      <c r="F28" s="102"/>
      <c r="G28" s="103"/>
    </row>
  </sheetData>
  <mergeCells count="13">
    <mergeCell ref="D28:G28"/>
    <mergeCell ref="D26:G26"/>
    <mergeCell ref="B16:F16"/>
    <mergeCell ref="D25:G25"/>
    <mergeCell ref="D24:G24"/>
    <mergeCell ref="D27:G27"/>
    <mergeCell ref="B17:F17"/>
    <mergeCell ref="B18:F18"/>
    <mergeCell ref="B3:G3"/>
    <mergeCell ref="B2:G2"/>
    <mergeCell ref="B20:G20"/>
    <mergeCell ref="D22:G22"/>
    <mergeCell ref="D23:G23"/>
  </mergeCells>
  <phoneticPr fontId="3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5"/>
  <sheetViews>
    <sheetView showGridLines="0" workbookViewId="0"/>
  </sheetViews>
  <sheetFormatPr defaultRowHeight="15" x14ac:dyDescent="0.25"/>
  <cols>
    <col min="1" max="1" width="2" customWidth="1"/>
    <col min="2" max="2" width="5" customWidth="1"/>
    <col min="3" max="3" width="22" customWidth="1"/>
    <col min="4" max="4" width="13.140625" customWidth="1"/>
    <col min="5" max="5" width="12" customWidth="1"/>
    <col min="6" max="6" width="11" bestFit="1" customWidth="1"/>
    <col min="7" max="7" width="65" customWidth="1"/>
    <col min="8" max="8" width="2" customWidth="1"/>
  </cols>
  <sheetData>
    <row r="1" spans="2:7" ht="9.9499999999999993" customHeight="1" x14ac:dyDescent="0.25"/>
    <row r="2" spans="2:7" ht="38.1" customHeight="1" x14ac:dyDescent="0.25">
      <c r="B2" s="121" t="s">
        <v>119</v>
      </c>
      <c r="C2" s="107"/>
      <c r="D2" s="107"/>
      <c r="E2" s="107"/>
      <c r="F2" s="107"/>
      <c r="G2" s="107"/>
    </row>
    <row r="3" spans="2:7" ht="18" customHeight="1" x14ac:dyDescent="0.25">
      <c r="B3" s="120" t="s">
        <v>120</v>
      </c>
      <c r="C3" s="107"/>
      <c r="D3" s="107"/>
      <c r="E3" s="107"/>
      <c r="F3" s="107"/>
      <c r="G3" s="107"/>
    </row>
    <row r="4" spans="2:7" ht="8.1" customHeight="1" x14ac:dyDescent="0.25"/>
    <row r="5" spans="2:7" ht="21.95" customHeight="1" x14ac:dyDescent="0.25">
      <c r="B5" s="11" t="s">
        <v>121</v>
      </c>
      <c r="C5" s="11" t="s">
        <v>64</v>
      </c>
      <c r="D5" s="11" t="s">
        <v>65</v>
      </c>
      <c r="E5" s="11" t="s">
        <v>122</v>
      </c>
      <c r="F5" s="11" t="s">
        <v>123</v>
      </c>
    </row>
    <row r="6" spans="2:7" ht="30" customHeight="1" x14ac:dyDescent="0.25">
      <c r="B6" s="74" t="s">
        <v>68</v>
      </c>
      <c r="C6" s="74" t="s">
        <v>69</v>
      </c>
      <c r="D6" s="74" t="s">
        <v>70</v>
      </c>
      <c r="E6" s="74" t="s">
        <v>71</v>
      </c>
      <c r="F6" s="74" t="s">
        <v>124</v>
      </c>
    </row>
    <row r="7" spans="2:7" ht="8.1" customHeight="1" x14ac:dyDescent="0.25"/>
    <row r="8" spans="2:7" ht="27.95" customHeight="1" x14ac:dyDescent="0.25">
      <c r="B8" s="59" t="s">
        <v>73</v>
      </c>
      <c r="C8" s="59" t="s">
        <v>74</v>
      </c>
      <c r="D8" s="59" t="s">
        <v>125</v>
      </c>
      <c r="E8" s="59" t="s">
        <v>77</v>
      </c>
      <c r="F8" s="59" t="s">
        <v>126</v>
      </c>
      <c r="G8" s="59" t="s">
        <v>127</v>
      </c>
    </row>
    <row r="9" spans="2:7" ht="103.5" customHeight="1" x14ac:dyDescent="0.25">
      <c r="B9" s="14" t="s">
        <v>79</v>
      </c>
      <c r="C9" s="15" t="s">
        <v>80</v>
      </c>
      <c r="D9" s="17" t="s">
        <v>82</v>
      </c>
      <c r="E9" s="18">
        <v>35</v>
      </c>
      <c r="F9" s="75">
        <v>375000</v>
      </c>
      <c r="G9" s="16" t="s">
        <v>128</v>
      </c>
    </row>
    <row r="10" spans="2:7" ht="103.5" customHeight="1" x14ac:dyDescent="0.25">
      <c r="B10" s="20" t="s">
        <v>83</v>
      </c>
      <c r="C10" s="21" t="s">
        <v>84</v>
      </c>
      <c r="D10" s="23" t="s">
        <v>86</v>
      </c>
      <c r="E10" s="24">
        <v>34</v>
      </c>
      <c r="F10" s="76">
        <v>450000</v>
      </c>
      <c r="G10" s="22" t="s">
        <v>129</v>
      </c>
    </row>
    <row r="11" spans="2:7" ht="103.5" customHeight="1" x14ac:dyDescent="0.25">
      <c r="B11" s="26" t="s">
        <v>87</v>
      </c>
      <c r="C11" s="27" t="s">
        <v>88</v>
      </c>
      <c r="D11" s="29" t="s">
        <v>90</v>
      </c>
      <c r="E11" s="30">
        <v>62</v>
      </c>
      <c r="F11" s="77">
        <v>480000</v>
      </c>
      <c r="G11" s="28" t="s">
        <v>130</v>
      </c>
    </row>
    <row r="12" spans="2:7" ht="103.5" customHeight="1" x14ac:dyDescent="0.25">
      <c r="B12" s="32" t="s">
        <v>91</v>
      </c>
      <c r="C12" s="33" t="s">
        <v>92</v>
      </c>
      <c r="D12" s="35" t="s">
        <v>94</v>
      </c>
      <c r="E12" s="36">
        <v>68</v>
      </c>
      <c r="F12" s="78">
        <v>700000</v>
      </c>
      <c r="G12" s="34" t="s">
        <v>131</v>
      </c>
    </row>
    <row r="13" spans="2:7" ht="103.5" customHeight="1" x14ac:dyDescent="0.25">
      <c r="B13" s="38" t="s">
        <v>95</v>
      </c>
      <c r="C13" s="39" t="s">
        <v>96</v>
      </c>
      <c r="D13" s="41" t="s">
        <v>98</v>
      </c>
      <c r="E13" s="42">
        <v>42</v>
      </c>
      <c r="F13" s="79">
        <v>410000</v>
      </c>
      <c r="G13" s="40" t="s">
        <v>132</v>
      </c>
    </row>
    <row r="14" spans="2:7" ht="103.5" customHeight="1" x14ac:dyDescent="0.25">
      <c r="B14" s="44" t="s">
        <v>99</v>
      </c>
      <c r="C14" s="45" t="s">
        <v>100</v>
      </c>
      <c r="D14" s="47" t="s">
        <v>102</v>
      </c>
      <c r="E14" s="48">
        <v>48</v>
      </c>
      <c r="F14" s="80">
        <v>300000</v>
      </c>
      <c r="G14" s="46" t="s">
        <v>133</v>
      </c>
    </row>
    <row r="15" spans="2:7" ht="103.5" customHeight="1" x14ac:dyDescent="0.25">
      <c r="B15" s="50" t="s">
        <v>103</v>
      </c>
      <c r="C15" s="51" t="s">
        <v>104</v>
      </c>
      <c r="D15" s="53" t="s">
        <v>106</v>
      </c>
      <c r="E15" s="54">
        <v>38</v>
      </c>
      <c r="F15" s="81">
        <v>285000</v>
      </c>
      <c r="G15" s="52" t="s">
        <v>134</v>
      </c>
    </row>
  </sheetData>
  <mergeCells count="2">
    <mergeCell ref="B3:G3"/>
    <mergeCell ref="B2:G2"/>
  </mergeCells>
  <phoneticPr fontId="3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5"/>
  <sheetViews>
    <sheetView showGridLines="0" workbookViewId="0">
      <selection activeCell="K7" sqref="K7"/>
    </sheetView>
  </sheetViews>
  <sheetFormatPr defaultRowHeight="15" x14ac:dyDescent="0.25"/>
  <cols>
    <col min="1" max="1" width="2" customWidth="1"/>
    <col min="2" max="2" width="24" customWidth="1"/>
    <col min="3" max="3" width="12" customWidth="1"/>
    <col min="4" max="4" width="14" customWidth="1"/>
    <col min="5" max="5" width="12" customWidth="1"/>
    <col min="6" max="6" width="16.7109375" bestFit="1" customWidth="1"/>
    <col min="7" max="7" width="2" customWidth="1"/>
  </cols>
  <sheetData>
    <row r="1" spans="2:6" ht="9.9499999999999993" customHeight="1" x14ac:dyDescent="0.25"/>
    <row r="2" spans="2:6" ht="38.1" customHeight="1" x14ac:dyDescent="0.25">
      <c r="B2" s="121" t="s">
        <v>135</v>
      </c>
      <c r="C2" s="107"/>
      <c r="D2" s="107"/>
      <c r="E2" s="107"/>
      <c r="F2" s="107"/>
    </row>
    <row r="3" spans="2:6" ht="18" customHeight="1" x14ac:dyDescent="0.25">
      <c r="B3" s="120" t="s">
        <v>136</v>
      </c>
      <c r="C3" s="107"/>
      <c r="D3" s="107"/>
      <c r="E3" s="107"/>
      <c r="F3" s="107"/>
    </row>
    <row r="4" spans="2:6" ht="8.1" customHeight="1" x14ac:dyDescent="0.25"/>
    <row r="5" spans="2:6" ht="27.95" customHeight="1" x14ac:dyDescent="0.25">
      <c r="B5" s="13" t="s">
        <v>137</v>
      </c>
      <c r="C5" s="13" t="s">
        <v>138</v>
      </c>
      <c r="D5" s="13" t="s">
        <v>139</v>
      </c>
      <c r="E5" s="13" t="s">
        <v>140</v>
      </c>
      <c r="F5" s="13" t="s">
        <v>141</v>
      </c>
    </row>
    <row r="6" spans="2:6" ht="26.1" customHeight="1" x14ac:dyDescent="0.25">
      <c r="B6" s="14" t="s">
        <v>142</v>
      </c>
      <c r="C6" s="82" t="s">
        <v>143</v>
      </c>
      <c r="D6" s="75">
        <v>30000</v>
      </c>
      <c r="E6" s="82" t="s">
        <v>144</v>
      </c>
      <c r="F6" s="75">
        <v>90000</v>
      </c>
    </row>
    <row r="7" spans="2:6" ht="26.1" customHeight="1" x14ac:dyDescent="0.25">
      <c r="B7" s="83" t="s">
        <v>145</v>
      </c>
      <c r="C7" s="84" t="s">
        <v>146</v>
      </c>
      <c r="D7" s="85">
        <v>12000</v>
      </c>
      <c r="E7" s="84" t="s">
        <v>147</v>
      </c>
      <c r="F7" s="85">
        <v>36000</v>
      </c>
    </row>
    <row r="8" spans="2:6" ht="32.1" customHeight="1" x14ac:dyDescent="0.25">
      <c r="B8" s="124" t="s">
        <v>148</v>
      </c>
      <c r="C8" s="100"/>
      <c r="D8" s="86" t="s">
        <v>149</v>
      </c>
      <c r="E8" s="87">
        <v>42000</v>
      </c>
      <c r="F8" s="88">
        <v>126000</v>
      </c>
    </row>
    <row r="9" spans="2:6" ht="26.1" customHeight="1" x14ac:dyDescent="0.25">
      <c r="B9" s="128" t="s">
        <v>108</v>
      </c>
      <c r="C9" s="102"/>
      <c r="D9" s="102"/>
      <c r="E9" s="103"/>
      <c r="F9" s="57">
        <v>12600</v>
      </c>
    </row>
    <row r="10" spans="2:6" ht="38.1" customHeight="1" x14ac:dyDescent="0.25">
      <c r="B10" s="129" t="s">
        <v>150</v>
      </c>
      <c r="C10" s="99"/>
      <c r="D10" s="99"/>
      <c r="E10" s="100"/>
      <c r="F10" s="89">
        <v>138600</v>
      </c>
    </row>
    <row r="11" spans="2:6" ht="8.1" customHeight="1" x14ac:dyDescent="0.25"/>
    <row r="12" spans="2:6" ht="26.1" customHeight="1" x14ac:dyDescent="0.25">
      <c r="B12" s="110" t="s">
        <v>151</v>
      </c>
      <c r="C12" s="102"/>
      <c r="D12" s="102"/>
      <c r="E12" s="102"/>
      <c r="F12" s="103"/>
    </row>
    <row r="13" spans="2:6" ht="24" customHeight="1" x14ac:dyDescent="0.25">
      <c r="B13" s="2" t="s">
        <v>152</v>
      </c>
      <c r="C13" s="131" t="s">
        <v>153</v>
      </c>
      <c r="D13" s="102"/>
      <c r="E13" s="102"/>
      <c r="F13" s="103"/>
    </row>
    <row r="14" spans="2:6" ht="24" customHeight="1" x14ac:dyDescent="0.25">
      <c r="B14" s="2" t="s">
        <v>154</v>
      </c>
      <c r="C14" s="131" t="s">
        <v>155</v>
      </c>
      <c r="D14" s="102"/>
      <c r="E14" s="102"/>
      <c r="F14" s="103"/>
    </row>
    <row r="15" spans="2:6" ht="24" customHeight="1" x14ac:dyDescent="0.25">
      <c r="B15" s="2" t="s">
        <v>156</v>
      </c>
      <c r="C15" s="131" t="s">
        <v>157</v>
      </c>
      <c r="D15" s="102"/>
      <c r="E15" s="102"/>
      <c r="F15" s="103"/>
    </row>
    <row r="16" spans="2:6" ht="24" customHeight="1" x14ac:dyDescent="0.25">
      <c r="B16" s="2" t="s">
        <v>158</v>
      </c>
      <c r="C16" s="131" t="s">
        <v>159</v>
      </c>
      <c r="D16" s="102"/>
      <c r="E16" s="102"/>
      <c r="F16" s="103"/>
    </row>
    <row r="17" spans="2:6" ht="24" customHeight="1" x14ac:dyDescent="0.25">
      <c r="B17" s="2" t="s">
        <v>160</v>
      </c>
      <c r="C17" s="131" t="s">
        <v>161</v>
      </c>
      <c r="D17" s="102"/>
      <c r="E17" s="102"/>
      <c r="F17" s="103"/>
    </row>
    <row r="18" spans="2:6" ht="24" customHeight="1" x14ac:dyDescent="0.25">
      <c r="B18" s="2" t="s">
        <v>162</v>
      </c>
      <c r="C18" s="131" t="s">
        <v>163</v>
      </c>
      <c r="D18" s="102"/>
      <c r="E18" s="102"/>
      <c r="F18" s="103"/>
    </row>
    <row r="19" spans="2:6" ht="24" customHeight="1" x14ac:dyDescent="0.25">
      <c r="B19" s="2" t="s">
        <v>164</v>
      </c>
      <c r="C19" s="131" t="s">
        <v>165</v>
      </c>
      <c r="D19" s="102"/>
      <c r="E19" s="102"/>
      <c r="F19" s="103"/>
    </row>
    <row r="20" spans="2:6" ht="24" customHeight="1" x14ac:dyDescent="0.25">
      <c r="B20" s="2" t="s">
        <v>166</v>
      </c>
      <c r="C20" s="131" t="s">
        <v>167</v>
      </c>
      <c r="D20" s="102"/>
      <c r="E20" s="102"/>
      <c r="F20" s="103"/>
    </row>
    <row r="21" spans="2:6" ht="8.1" customHeight="1" x14ac:dyDescent="0.25"/>
    <row r="22" spans="2:6" ht="26.1" customHeight="1" x14ac:dyDescent="0.25">
      <c r="B22" s="108" t="s">
        <v>168</v>
      </c>
      <c r="C22" s="102"/>
      <c r="D22" s="102"/>
      <c r="E22" s="102"/>
      <c r="F22" s="103"/>
    </row>
    <row r="23" spans="2:6" ht="26.1" customHeight="1" x14ac:dyDescent="0.25">
      <c r="B23" s="59" t="s">
        <v>23</v>
      </c>
      <c r="C23" s="59" t="s">
        <v>169</v>
      </c>
      <c r="D23" s="59" t="s">
        <v>170</v>
      </c>
      <c r="E23" s="59" t="s">
        <v>171</v>
      </c>
    </row>
    <row r="24" spans="2:6" ht="21.95" customHeight="1" x14ac:dyDescent="0.25">
      <c r="B24" s="90" t="s">
        <v>172</v>
      </c>
      <c r="C24" s="91" t="s">
        <v>149</v>
      </c>
      <c r="D24" s="75">
        <v>42000</v>
      </c>
      <c r="E24" s="75">
        <v>126000</v>
      </c>
    </row>
    <row r="25" spans="2:6" ht="21.95" customHeight="1" x14ac:dyDescent="0.25">
      <c r="B25" s="92" t="s">
        <v>173</v>
      </c>
      <c r="C25" s="8" t="s">
        <v>174</v>
      </c>
      <c r="D25" s="93">
        <v>79500</v>
      </c>
      <c r="E25" s="93">
        <v>238500</v>
      </c>
    </row>
  </sheetData>
  <mergeCells count="15">
    <mergeCell ref="B22:F22"/>
    <mergeCell ref="C19:F19"/>
    <mergeCell ref="B8:C8"/>
    <mergeCell ref="C14:F14"/>
    <mergeCell ref="B10:E10"/>
    <mergeCell ref="B2:F2"/>
    <mergeCell ref="C20:F20"/>
    <mergeCell ref="B3:F3"/>
    <mergeCell ref="C16:F16"/>
    <mergeCell ref="C15:F15"/>
    <mergeCell ref="C13:F13"/>
    <mergeCell ref="C18:F18"/>
    <mergeCell ref="B9:E9"/>
    <mergeCell ref="B12:F12"/>
    <mergeCell ref="C17:F17"/>
  </mergeCells>
  <phoneticPr fontId="3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1.견적서</vt:lpstr>
      <vt:lpstr>2.기능패키지산정</vt:lpstr>
      <vt:lpstr>3.납품범위</vt:lpstr>
      <vt:lpstr>4.서버운영비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695</cp:lastModifiedBy>
  <dcterms:modified xsi:type="dcterms:W3CDTF">2026-05-23T09:06:39Z</dcterms:modified>
</cp:coreProperties>
</file>